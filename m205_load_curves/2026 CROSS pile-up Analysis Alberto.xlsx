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<sst xmlns="http://schemas.openxmlformats.org/spreadsheetml/2006/main" count="86" uniqueCount="76">
  <si>
    <t>Channel</t>
  </si>
  <si>
    <t>Position</t>
  </si>
  <si>
    <t>Sensitivity ( muV /keV) - Denys</t>
  </si>
  <si>
    <t>Light Yield (keV / MeV) - Denys</t>
  </si>
  <si>
    <t>Expected amp @ 3034 from LY (keV) - Denys</t>
  </si>
  <si>
    <t>m90 - Expected amplitude @ 3034 (mV) - Denys</t>
  </si>
  <si>
    <t>OLD - m204, Roberto - OF_Amp @ 3034 (mV)</t>
  </si>
  <si>
    <t>m204, Roberto - OF_Amp @ 2615 (mV)</t>
  </si>
  <si>
    <t>m204, Roberto - OF_Amp @ 3034 (mV)</t>
  </si>
  <si>
    <t>CUPID, LY scaling, OF_Amp 3034</t>
  </si>
  <si>
    <t>Gain estimate (m204/m90)</t>
  </si>
  <si>
    <t xml:space="preserve">m90, Denys - RMS (keV) </t>
  </si>
  <si>
    <t>m204, Roberto - RMS OF (mV)</t>
  </si>
  <si>
    <t>WP  (nA)</t>
  </si>
  <si>
    <t>SNR at 3034 (m204)</t>
  </si>
  <si>
    <t>m204 RMS (scaled to keV with LY - include NTL gain) (keV)</t>
  </si>
  <si>
    <t>m204 RMS (scaled no NTL gain) (keV)</t>
  </si>
  <si>
    <t>Resolution broadening m204 - m90 (keV)</t>
  </si>
  <si>
    <t>Risetime</t>
  </si>
  <si>
    <t>Note</t>
  </si>
  <si>
    <t>TOP</t>
  </si>
  <si>
    <t>BOTTOM</t>
  </si>
  <si>
    <t>TOP (?)</t>
  </si>
  <si>
    <t>Forget this detector</t>
  </si>
  <si>
    <t>Ge spiral</t>
  </si>
  <si>
    <t>Note: Red estimates based on other detectors (no measurement available)</t>
  </si>
  <si>
    <t>Also note: Gain m205=182, Gain m204=910</t>
  </si>
  <si>
    <t>Average SNR</t>
  </si>
  <si>
    <t>Argonauts crosscheck</t>
  </si>
  <si>
    <t>R [GOhm]</t>
  </si>
  <si>
    <t>Resistance [GOhm]</t>
  </si>
  <si>
    <t>Used 
current (nA)</t>
  </si>
  <si>
    <t>V Bias [V]</t>
  </si>
  <si>
    <t>m205 
Working Point</t>
  </si>
  <si>
    <t>m204, Roberto 
- Pulser Amp 
OF (mV)</t>
  </si>
  <si>
    <t>m205, Alberto 
- Pulser Amp 
OF (mV) @ VBias</t>
  </si>
  <si>
    <t>m205, Pulser Amp OF scaled to 910 gain (m204)</t>
  </si>
  <si>
    <t>m205, Pulser Amp 
OF scaled / m204, 
Pulser Amp OF</t>
  </si>
  <si>
    <t>m205 - OF_Amp 
@ 3034 (mV)</t>
  </si>
  <si>
    <t>m205 - 
Rise-time (ms)</t>
  </si>
  <si>
    <t>m204, Roberto 
- Pulser Amp 
RAW (mV)</t>
  </si>
  <si>
    <t>m205, Alberto 
- Mean Pulser 
Amp RAW (mV) 
@ VBias</t>
  </si>
  <si>
    <t>m205, Pulser Amp RAW scaled to 910 gain (m204)</t>
  </si>
  <si>
    <t>m205, Pulser Amp 
RAW scaled / m204, 
Pulser Amp RAW</t>
  </si>
  <si>
    <t>m202
I [nA]</t>
  </si>
  <si>
    <t>m202 V [V]</t>
  </si>
  <si>
    <t>m205 
V_bias for
comparison
[V]</t>
  </si>
  <si>
    <t>m205 WPs</t>
  </si>
  <si>
    <t>m202 noise RMS (uV) 95% confidence</t>
  </si>
  <si>
    <t>m202 raw amplitude of APs (uV)</t>
  </si>
  <si>
    <t>m202 filtered amplitude of APs (uV)</t>
  </si>
  <si>
    <t>number of LED pulses</t>
  </si>
  <si>
    <t>m202 LED SNR (raw_ampl/noise)</t>
  </si>
  <si>
    <t>m202 LED 
SNR 
(filtered_ampl
/noise)</t>
  </si>
  <si>
    <t>m202 amp expected from LED scaling at 3034 keV (mV)</t>
  </si>
  <si>
    <t>m202 expected 3034 keV SNR</t>
  </si>
  <si>
    <t>m204 Tl line @2615 keV (mV)</t>
  </si>
  <si>
    <t>Measured m202 light amp @ 2615 keV (mV)</t>
  </si>
  <si>
    <t>Crosscheck based on sensitivity m202 light amp @2615 keV (mV)</t>
  </si>
  <si>
    <t>Measured m202 light amp @ 3034 keV (mV)</t>
  </si>
  <si>
    <t>Crosscheck based on sensitivity m202 light amp @3034 keV (mV)</t>
  </si>
  <si>
    <t>m202 absolute error between expected and measured @3034 (mV)</t>
  </si>
  <si>
    <t>m202 relative error between expected and measured @3034 (%)</t>
  </si>
  <si>
    <t>m202 measured 3034 keV SNR</t>
  </si>
  <si>
    <t>m202 absolute error between expected and measured SNR @3034</t>
  </si>
  <si>
    <t>m202 relative error between expected and measured SNR @3034 (%)</t>
  </si>
  <si>
    <t xml:space="preserve">Background 
Index 
Estimation </t>
  </si>
  <si>
    <t>m202 
σ_OF [mV]</t>
  </si>
  <si>
    <t>m202 SNR</t>
  </si>
  <si>
    <t xml:space="preserve">J </t>
  </si>
  <si>
    <t>BI [ccky]</t>
  </si>
  <si>
    <t>m202 Rise Time [ms]</t>
  </si>
  <si>
    <t>It should be m205, Pulser Amp 
OF scaled / m204, 
Pulser Amp OF *m204, Roberto - OF_Amp @ 3034 (mV)
 i think (BS - I don't quite agree to whoever wrote this - I would be correct for m202 further back but m205 has a factor 5 lower gain ....)</t>
  </si>
  <si>
    <t>old data, only look at filtered amplitude</t>
  </si>
  <si>
    <t>B.S. Checked with Guillaume - Roberto only performed a sensitivity based "calibration" with prior sensitivity estimates that are off by up to a factor ~2 . Not useful to understand if our estimated light amplitudes are correct or not</t>
  </si>
  <si>
    <t>This should be the same as m204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</si>
</sst>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CCCCCC"/>
      <name val="Arial"/>
      <scheme val="minor"/>
    </font>
    <font>
      <sz val="10.0"/>
      <color theme="1"/>
      <name val="Arial"/>
      <scheme val="minor"/>
    </font>
    <font>
      <b/>
      <color rgb="FFFF0000"/>
      <name val="Arial"/>
      <scheme val="minor"/>
    </font>
    <font>
      <b/>
      <color rgb="FFFF9900"/>
      <name val="Arial"/>
      <scheme val="minor"/>
    </font>
    <font>
      <b/>
      <color theme="6"/>
      <name val="Arial"/>
      <scheme val="minor"/>
    </font>
    <font>
      <color rgb="FFFF9900"/>
      <name val="Arial"/>
      <scheme val="minor"/>
    </font>
    <font>
      <color theme="6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4" xfId="0" applyFont="1" applyNumberFormat="1"/>
    <xf borderId="0" fillId="0" fontId="3" numFmtId="2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4" xfId="0" applyFont="1" applyNumberFormat="1"/>
    <xf borderId="0" fillId="0" fontId="5" numFmtId="4" xfId="0" applyAlignment="1" applyFont="1" applyNumberFormat="1">
      <alignment readingOrder="0"/>
    </xf>
    <xf borderId="0" fillId="0" fontId="5" numFmtId="11" xfId="0" applyAlignment="1" applyFont="1" applyNumberFormat="1">
      <alignment readingOrder="0"/>
    </xf>
    <xf borderId="0" fillId="0" fontId="5" numFmtId="0" xfId="0" applyFont="1"/>
    <xf borderId="0" fillId="2" fontId="3" numFmtId="0" xfId="0" applyAlignment="1" applyFill="1" applyFont="1">
      <alignment readingOrder="0"/>
    </xf>
    <xf borderId="0" fillId="2" fontId="3" numFmtId="4" xfId="0" applyFill="1" applyFont="1" applyNumberFormat="1"/>
    <xf borderId="0" fillId="2" fontId="3" numFmtId="4" xfId="0" applyAlignment="1" applyFill="1" applyFont="1" applyNumberFormat="1">
      <alignment readingOrder="0"/>
    </xf>
    <xf borderId="0" fillId="2" fontId="3" numFmtId="11" xfId="0" applyAlignment="1" applyFill="1" applyFont="1" applyNumberFormat="1">
      <alignment readingOrder="0"/>
    </xf>
    <xf borderId="0" fillId="2" fontId="3" numFmtId="0" xfId="0" applyFill="1" applyFont="1"/>
    <xf borderId="0" fillId="0" fontId="2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textRotation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0" fontId="3" numFmtId="2" xfId="0" applyFont="1" applyNumberFormat="1"/>
    <xf borderId="0" fillId="0" fontId="3" numFmtId="0" xfId="0" applyFont="1"/>
    <xf borderId="0" fillId="0" fontId="10" numFmtId="0" xfId="0" applyAlignment="1" applyFont="1">
      <alignment readingOrder="0"/>
    </xf>
    <xf borderId="0" fillId="0" fontId="10" numFmtId="2" xfId="0" applyFont="1" applyNumberFormat="1"/>
    <xf borderId="0" fillId="4" fontId="3" numFmtId="164" xfId="0" applyFill="1" applyFont="1" applyNumberFormat="1"/>
    <xf borderId="0" fillId="0" fontId="10" numFmtId="11" xfId="0" applyAlignment="1" applyFont="1" applyNumberFormat="1">
      <alignment readingOrder="0"/>
    </xf>
    <xf borderId="0" fillId="0" fontId="11" numFmtId="11" xfId="0" applyFont="1" applyNumberFormat="1"/>
    <xf borderId="0" fillId="0" fontId="3" numFmtId="11" xfId="0" applyFont="1" applyNumberFormat="1"/>
    <xf borderId="0" fillId="3" fontId="3" numFmtId="4" xfId="0" applyFill="1" applyFont="1" applyNumberFormat="1"/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12" numFmtId="2" xfId="0" applyFont="1" applyNumberFormat="1"/>
    <xf borderId="0" fillId="0" fontId="4" numFmtId="2" xfId="0" applyFont="1" applyNumberFormat="1"/>
    <xf borderId="0" fillId="6" fontId="3" numFmtId="0" xfId="0" applyAlignment="1" applyFill="1" applyFont="1">
      <alignment readingOrder="0"/>
    </xf>
    <xf borderId="0" fillId="0" fontId="5" numFmtId="2" xfId="0" applyAlignment="1" applyFont="1" applyNumberForma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Risetime m205 VS Ratio m205/m204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Foglio1!$K$22:$K$30</c:f>
            </c:numRef>
          </c:xVal>
          <c:yVal>
            <c:numRef>
              <c:f>Foglio1!$P$22:$P$30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426264"/>
        <c:axId val="1278061088"/>
      </c:scatterChart>
      <c:valAx>
        <c:axId val="14034262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m205 -  Rise-time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061088"/>
      </c:valAx>
      <c:valAx>
        <c:axId val="1278061088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m205, Pulser Amp  RAW scaled / m204,  Pulser Amp RAW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426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Foglio1!$AW$21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Foglio1!$AU$23:$AU$30</c:f>
            </c:numRef>
          </c:xVal>
          <c:yVal>
            <c:numRef>
              <c:f>Foglio1!$AW$22:$AW$30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228266"/>
        <c:axId val="1523923551"/>
      </c:scatterChart>
      <c:valAx>
        <c:axId val="16982282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m202 SNR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923551"/>
      </c:valAx>
      <c:valAx>
        <c:axId val="1523923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 [ccky]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228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Rise Time [ms] vs BI [ccky]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Foglio1!$AW$21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Foglio1!$AX$22:$AX$30</c:f>
            </c:numRef>
          </c:xVal>
          <c:yVal>
            <c:numRef>
              <c:f>Foglio1!$AW$22:$AW$30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726194"/>
        <c:axId val="1764179511"/>
      </c:scatterChart>
      <c:valAx>
        <c:axId val="21297261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Rise Time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179511"/>
      </c:valAx>
      <c:valAx>
        <c:axId val="1764179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 [ccky]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726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742950</xdr:colOff>
      <xdr:row>31</xdr:row>
      <xdr:rowOff>161925</xdr:rowOff>
    </xdr:from>
    <xdr:ext cx="3162300" cy="259080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40</xdr:col>
      <xdr:colOff>914400</xdr:colOff>
      <xdr:row>33</xdr:row>
      <xdr:rowOff>28575</xdr:rowOff>
    </xdr:from>
    <xdr:ext cx="4010025" cy="2495550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35</xdr:col>
      <xdr:colOff>723900</xdr:colOff>
      <xdr:row>32</xdr:row>
      <xdr:rowOff>161925</xdr:rowOff>
    </xdr:from>
    <xdr:ext cx="4257675" cy="2628900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75"/>
    <col customWidth="1" min="3" max="3" width="16.25"/>
    <col customWidth="1" min="4" max="4" width="11.63"/>
    <col customWidth="1" min="6" max="8" width="13.75"/>
    <col customWidth="1" min="9" max="9" width="14.38"/>
    <col customWidth="1" min="10" max="10" width="17.0"/>
    <col customWidth="1" min="12" max="12" width="16.13"/>
    <col customWidth="1" min="13" max="13" width="13.88"/>
    <col customWidth="1" min="14" max="15" width="10.88"/>
    <col customWidth="1" min="16" max="16" width="16.5"/>
    <col customWidth="1" min="17" max="19" width="10.88"/>
    <col customWidth="1" min="23" max="23" width="12.75"/>
    <col customWidth="1" min="24" max="24" width="12.88"/>
    <col customWidth="1" min="25" max="25" width="9.63"/>
    <col customWidth="1" min="26" max="26" width="9.88"/>
    <col customWidth="1" min="27" max="27" width="10.88"/>
    <col customWidth="1" min="28" max="28" width="12.63"/>
    <col customWidth="1" min="32" max="32" width="14.38"/>
    <col customWidth="1" min="36" max="36" width="9.0"/>
    <col customWidth="1" min="37" max="37" width="14.63"/>
    <col customWidth="1" min="38" max="38" width="8.88"/>
    <col customWidth="1" min="39" max="44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>
      <c r="A2" s="4">
        <v>31.0</v>
      </c>
      <c r="B2" s="4" t="s">
        <v>20</v>
      </c>
      <c r="C2" s="4">
        <v>0.4</v>
      </c>
      <c r="D2" s="4">
        <v>0.17</v>
      </c>
      <c r="E2" s="5">
        <f t="shared" ref="E2:E10" si="1">D2*3.034</f>
        <v>0.51578</v>
      </c>
      <c r="F2" s="5">
        <f t="shared" ref="F2:F10" si="2">C2*D2*910*3.034/1000</f>
        <v>0.18774392</v>
      </c>
      <c r="G2" s="4">
        <v>8.0</v>
      </c>
      <c r="H2" s="4">
        <v>6.6</v>
      </c>
      <c r="I2" s="6">
        <f t="shared" ref="I2:I10" si="3">H2*(3034/2615)</f>
        <v>7.65751434</v>
      </c>
      <c r="J2" s="7">
        <f t="shared" ref="J2:J10" si="4">I2*0.3/D2</f>
        <v>13.5132606</v>
      </c>
      <c r="K2" s="5">
        <f t="shared" ref="K2:K10" si="5">I2/F2</f>
        <v>40.78701638</v>
      </c>
      <c r="L2" s="4">
        <v>0.21</v>
      </c>
      <c r="M2" s="4">
        <v>0.17</v>
      </c>
      <c r="N2" s="4">
        <v>4.0</v>
      </c>
      <c r="O2" s="7">
        <f t="shared" ref="O2:O10" si="6">I2/M2</f>
        <v>45.044202</v>
      </c>
      <c r="P2" s="8">
        <f t="shared" ref="P2:P10" si="7">M2/I2*E2</f>
        <v>0.0114505303</v>
      </c>
      <c r="Q2" s="8">
        <f t="shared" ref="Q2:Q10" si="8">P2*K2</f>
        <v>0.467032967</v>
      </c>
      <c r="R2" s="8">
        <f t="shared" ref="R2:R10" si="9">Q2-L2</f>
        <v>0.257032967</v>
      </c>
      <c r="S2" s="4"/>
    </row>
    <row r="3">
      <c r="A3" s="4">
        <v>34.0</v>
      </c>
      <c r="B3" s="4" t="s">
        <v>21</v>
      </c>
      <c r="C3" s="4">
        <v>0.5</v>
      </c>
      <c r="D3" s="4">
        <v>0.14</v>
      </c>
      <c r="E3" s="5">
        <f t="shared" si="1"/>
        <v>0.42476</v>
      </c>
      <c r="F3" s="5">
        <f t="shared" si="2"/>
        <v>0.1932658</v>
      </c>
      <c r="G3" s="4">
        <v>5.5</v>
      </c>
      <c r="H3" s="4">
        <v>7.2</v>
      </c>
      <c r="I3" s="6">
        <f t="shared" si="3"/>
        <v>8.353652008</v>
      </c>
      <c r="J3" s="7">
        <f t="shared" si="4"/>
        <v>17.90068287</v>
      </c>
      <c r="K3" s="5">
        <f t="shared" si="5"/>
        <v>43.22364333</v>
      </c>
      <c r="L3" s="4">
        <v>0.12</v>
      </c>
      <c r="M3" s="4">
        <v>0.08</v>
      </c>
      <c r="N3" s="4">
        <v>5.0</v>
      </c>
      <c r="O3" s="7">
        <f t="shared" si="6"/>
        <v>104.4206501</v>
      </c>
      <c r="P3" s="8">
        <f t="shared" si="7"/>
        <v>0.004067777778</v>
      </c>
      <c r="Q3" s="8">
        <f t="shared" si="8"/>
        <v>0.1758241758</v>
      </c>
      <c r="R3" s="8">
        <f t="shared" si="9"/>
        <v>0.05582417582</v>
      </c>
      <c r="S3" s="4"/>
    </row>
    <row r="4">
      <c r="A4" s="4">
        <v>37.0</v>
      </c>
      <c r="B4" s="4" t="s">
        <v>20</v>
      </c>
      <c r="C4" s="4">
        <v>0.6</v>
      </c>
      <c r="D4" s="9">
        <v>0.2</v>
      </c>
      <c r="E4" s="5">
        <f t="shared" si="1"/>
        <v>0.6068</v>
      </c>
      <c r="F4" s="5">
        <f t="shared" si="2"/>
        <v>0.3313128</v>
      </c>
      <c r="G4" s="4">
        <v>8.0</v>
      </c>
      <c r="H4" s="4">
        <v>7.3</v>
      </c>
      <c r="I4" s="6">
        <f t="shared" si="3"/>
        <v>8.469674952</v>
      </c>
      <c r="J4" s="7">
        <f t="shared" si="4"/>
        <v>12.70451243</v>
      </c>
      <c r="K4" s="5">
        <f t="shared" si="5"/>
        <v>25.5639835</v>
      </c>
      <c r="L4" s="4">
        <v>0.12</v>
      </c>
      <c r="M4" s="4">
        <v>0.14</v>
      </c>
      <c r="N4" s="4">
        <v>10.0</v>
      </c>
      <c r="O4" s="7">
        <f t="shared" si="6"/>
        <v>60.49767823</v>
      </c>
      <c r="P4" s="8">
        <f t="shared" si="7"/>
        <v>0.01003013699</v>
      </c>
      <c r="Q4" s="8">
        <f t="shared" si="8"/>
        <v>0.2564102564</v>
      </c>
      <c r="R4" s="8">
        <f t="shared" si="9"/>
        <v>0.1364102564</v>
      </c>
      <c r="S4" s="4"/>
    </row>
    <row r="5">
      <c r="A5" s="4">
        <v>40.0</v>
      </c>
      <c r="B5" s="4" t="s">
        <v>20</v>
      </c>
      <c r="C5" s="4">
        <v>0.2</v>
      </c>
      <c r="D5" s="9">
        <v>0.2</v>
      </c>
      <c r="E5" s="5">
        <f t="shared" si="1"/>
        <v>0.6068</v>
      </c>
      <c r="F5" s="5">
        <f t="shared" si="2"/>
        <v>0.1104376</v>
      </c>
      <c r="G5" s="4">
        <v>4.2</v>
      </c>
      <c r="H5" s="4">
        <v>3.8</v>
      </c>
      <c r="I5" s="6">
        <f t="shared" si="3"/>
        <v>4.408871893</v>
      </c>
      <c r="J5" s="7">
        <f t="shared" si="4"/>
        <v>6.613307839</v>
      </c>
      <c r="K5" s="5">
        <f t="shared" si="5"/>
        <v>39.92183724</v>
      </c>
      <c r="L5" s="4">
        <v>0.56</v>
      </c>
      <c r="M5" s="4">
        <v>0.15</v>
      </c>
      <c r="N5" s="4">
        <v>13.0</v>
      </c>
      <c r="O5" s="7">
        <f t="shared" si="6"/>
        <v>29.39247929</v>
      </c>
      <c r="P5" s="8">
        <f t="shared" si="7"/>
        <v>0.02064473684</v>
      </c>
      <c r="Q5" s="8">
        <f t="shared" si="8"/>
        <v>0.8241758242</v>
      </c>
      <c r="R5" s="8">
        <f t="shared" si="9"/>
        <v>0.2641758242</v>
      </c>
      <c r="S5" s="4"/>
    </row>
    <row r="6">
      <c r="A6" s="10">
        <v>41.0</v>
      </c>
      <c r="B6" s="10" t="s">
        <v>22</v>
      </c>
      <c r="C6" s="10">
        <v>0.0</v>
      </c>
      <c r="D6" s="10">
        <v>0.2</v>
      </c>
      <c r="E6" s="11">
        <f t="shared" si="1"/>
        <v>0.6068</v>
      </c>
      <c r="F6" s="11">
        <f t="shared" si="2"/>
        <v>0</v>
      </c>
      <c r="G6" s="10">
        <v>2.0</v>
      </c>
      <c r="H6" s="10">
        <v>1.8</v>
      </c>
      <c r="I6" s="6">
        <f t="shared" si="3"/>
        <v>2.088413002</v>
      </c>
      <c r="J6" s="12">
        <f t="shared" si="4"/>
        <v>3.132619503</v>
      </c>
      <c r="K6" s="11" t="str">
        <f t="shared" si="5"/>
        <v>#DIV/0!</v>
      </c>
      <c r="L6" s="10">
        <v>0.0</v>
      </c>
      <c r="M6" s="10">
        <v>0.42</v>
      </c>
      <c r="N6" s="10">
        <v>4.0</v>
      </c>
      <c r="O6" s="12">
        <f t="shared" si="6"/>
        <v>4.972411909</v>
      </c>
      <c r="P6" s="13">
        <f t="shared" si="7"/>
        <v>0.1220333333</v>
      </c>
      <c r="Q6" s="13" t="str">
        <f t="shared" si="8"/>
        <v>#DIV/0!</v>
      </c>
      <c r="R6" s="8" t="str">
        <f t="shared" si="9"/>
        <v>#DIV/0!</v>
      </c>
      <c r="S6" s="10"/>
      <c r="T6" s="10" t="s">
        <v>23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</row>
    <row r="7">
      <c r="A7" s="4">
        <v>71.0</v>
      </c>
      <c r="B7" s="4" t="s">
        <v>21</v>
      </c>
      <c r="C7" s="4">
        <v>0.9</v>
      </c>
      <c r="D7" s="4">
        <v>0.14</v>
      </c>
      <c r="E7" s="5">
        <f t="shared" si="1"/>
        <v>0.42476</v>
      </c>
      <c r="F7" s="5">
        <f t="shared" si="2"/>
        <v>0.34787844</v>
      </c>
      <c r="G7" s="4">
        <v>10.0</v>
      </c>
      <c r="H7" s="4">
        <v>12.2</v>
      </c>
      <c r="I7" s="6">
        <f t="shared" si="3"/>
        <v>14.15479924</v>
      </c>
      <c r="J7" s="7">
        <f t="shared" si="4"/>
        <v>30.33171265</v>
      </c>
      <c r="K7" s="5">
        <f t="shared" si="5"/>
        <v>40.68892351</v>
      </c>
      <c r="L7" s="4">
        <v>0.1</v>
      </c>
      <c r="M7" s="4">
        <v>0.11</v>
      </c>
      <c r="N7" s="4">
        <v>4.0</v>
      </c>
      <c r="O7" s="7">
        <f t="shared" si="6"/>
        <v>128.679993</v>
      </c>
      <c r="P7" s="8">
        <f t="shared" si="7"/>
        <v>0.003300901639</v>
      </c>
      <c r="Q7" s="8">
        <f t="shared" si="8"/>
        <v>0.1343101343</v>
      </c>
      <c r="R7" s="8">
        <f t="shared" si="9"/>
        <v>0.03431013431</v>
      </c>
      <c r="S7" s="4"/>
    </row>
    <row r="8">
      <c r="A8" s="4">
        <v>83.0</v>
      </c>
      <c r="B8" s="4" t="s">
        <v>20</v>
      </c>
      <c r="C8" s="4">
        <v>0.6</v>
      </c>
      <c r="D8" s="4">
        <v>0.2</v>
      </c>
      <c r="E8" s="5">
        <f t="shared" si="1"/>
        <v>0.6068</v>
      </c>
      <c r="F8" s="5">
        <f t="shared" si="2"/>
        <v>0.3313128</v>
      </c>
      <c r="G8" s="4">
        <v>9.0</v>
      </c>
      <c r="H8" s="4">
        <v>9.1</v>
      </c>
      <c r="I8" s="6">
        <f t="shared" si="3"/>
        <v>10.55808795</v>
      </c>
      <c r="J8" s="7">
        <f t="shared" si="4"/>
        <v>15.83713193</v>
      </c>
      <c r="K8" s="5">
        <f t="shared" si="5"/>
        <v>31.86743149</v>
      </c>
      <c r="L8" s="4">
        <v>0.26</v>
      </c>
      <c r="M8" s="4">
        <v>0.2</v>
      </c>
      <c r="N8" s="4">
        <v>2.0</v>
      </c>
      <c r="O8" s="7">
        <f t="shared" si="6"/>
        <v>52.79043977</v>
      </c>
      <c r="P8" s="8">
        <f t="shared" si="7"/>
        <v>0.01149450549</v>
      </c>
      <c r="Q8" s="8">
        <f t="shared" si="8"/>
        <v>0.3663003663</v>
      </c>
      <c r="R8" s="8">
        <f t="shared" si="9"/>
        <v>0.1063003663</v>
      </c>
      <c r="S8" s="4"/>
    </row>
    <row r="9">
      <c r="A9" s="15">
        <v>91.0</v>
      </c>
      <c r="B9" s="15" t="s">
        <v>20</v>
      </c>
      <c r="C9" s="15">
        <v>0.4</v>
      </c>
      <c r="D9" s="15">
        <v>0.22</v>
      </c>
      <c r="E9" s="16">
        <f t="shared" si="1"/>
        <v>0.66748</v>
      </c>
      <c r="F9" s="16">
        <f t="shared" si="2"/>
        <v>0.24296272</v>
      </c>
      <c r="G9" s="15">
        <v>5.0</v>
      </c>
      <c r="H9" s="15">
        <v>4.4</v>
      </c>
      <c r="I9" s="6">
        <f t="shared" si="3"/>
        <v>5.10500956</v>
      </c>
      <c r="J9" s="17">
        <f t="shared" si="4"/>
        <v>6.961376673</v>
      </c>
      <c r="K9" s="16">
        <f t="shared" si="5"/>
        <v>21.01149329</v>
      </c>
      <c r="L9" s="15">
        <v>0.17</v>
      </c>
      <c r="M9" s="15">
        <v>0.25</v>
      </c>
      <c r="N9" s="15">
        <v>3.0</v>
      </c>
      <c r="O9" s="17">
        <f t="shared" si="6"/>
        <v>20.42003824</v>
      </c>
      <c r="P9" s="18">
        <f t="shared" si="7"/>
        <v>0.0326875</v>
      </c>
      <c r="Q9" s="18">
        <f t="shared" si="8"/>
        <v>0.6868131868</v>
      </c>
      <c r="R9" s="18">
        <f t="shared" si="9"/>
        <v>0.5168131868</v>
      </c>
      <c r="S9" s="15"/>
      <c r="T9" s="15" t="s">
        <v>24</v>
      </c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</row>
    <row r="10">
      <c r="A10" s="4">
        <v>94.0</v>
      </c>
      <c r="B10" s="4" t="s">
        <v>21</v>
      </c>
      <c r="C10" s="4">
        <v>0.2</v>
      </c>
      <c r="D10" s="9">
        <v>0.14</v>
      </c>
      <c r="E10" s="5">
        <f t="shared" si="1"/>
        <v>0.42476</v>
      </c>
      <c r="F10" s="5">
        <f t="shared" si="2"/>
        <v>0.07730632</v>
      </c>
      <c r="G10" s="4">
        <v>3.0</v>
      </c>
      <c r="H10" s="4">
        <v>3.7</v>
      </c>
      <c r="I10" s="6">
        <f t="shared" si="3"/>
        <v>4.292848948</v>
      </c>
      <c r="J10" s="7">
        <f t="shared" si="4"/>
        <v>9.198962032</v>
      </c>
      <c r="K10" s="5">
        <f t="shared" si="5"/>
        <v>55.53037512</v>
      </c>
      <c r="L10" s="4">
        <v>0.66</v>
      </c>
      <c r="M10" s="4">
        <v>0.12</v>
      </c>
      <c r="N10" s="4">
        <v>13.0</v>
      </c>
      <c r="O10" s="7">
        <f t="shared" si="6"/>
        <v>35.77374124</v>
      </c>
      <c r="P10" s="8">
        <f t="shared" si="7"/>
        <v>0.01187351351</v>
      </c>
      <c r="Q10" s="8">
        <f t="shared" si="8"/>
        <v>0.6593406593</v>
      </c>
      <c r="R10" s="8">
        <f t="shared" si="9"/>
        <v>-0.0006593406593</v>
      </c>
      <c r="S10" s="4"/>
    </row>
    <row r="11">
      <c r="K11" s="5"/>
      <c r="O11" s="5"/>
      <c r="AJ11" s="8"/>
      <c r="AK11" s="8"/>
      <c r="AL11" s="8"/>
      <c r="AM11" s="8"/>
      <c r="AN11" s="8"/>
      <c r="AO11" s="8"/>
      <c r="AP11" s="8"/>
      <c r="AQ11" s="8"/>
      <c r="AR11" s="8"/>
    </row>
    <row r="12">
      <c r="D12" s="9" t="s">
        <v>25</v>
      </c>
      <c r="AJ12" s="8"/>
      <c r="AK12" s="8"/>
      <c r="AL12" s="8"/>
      <c r="AM12" s="8"/>
      <c r="AN12" s="8"/>
      <c r="AO12" s="8"/>
      <c r="AP12" s="8"/>
      <c r="AQ12" s="8"/>
      <c r="AR12" s="8"/>
    </row>
    <row r="13">
      <c r="D13" s="9" t="s">
        <v>26</v>
      </c>
      <c r="O13" s="4" t="s">
        <v>27</v>
      </c>
      <c r="AJ13" s="8"/>
      <c r="AK13" s="8"/>
      <c r="AL13" s="8"/>
      <c r="AM13" s="8"/>
      <c r="AN13" s="8"/>
      <c r="AO13" s="8"/>
      <c r="AP13" s="8"/>
      <c r="AQ13" s="8"/>
      <c r="AR13" s="8"/>
    </row>
    <row r="14">
      <c r="O14" s="5">
        <f>AVERAGE(O2:O10)</f>
        <v>53.55462598</v>
      </c>
      <c r="AJ14" s="8"/>
      <c r="AK14" s="8"/>
      <c r="AL14" s="8"/>
      <c r="AM14" s="8"/>
      <c r="AN14" s="8"/>
      <c r="AO14" s="8"/>
      <c r="AP14" s="8"/>
      <c r="AQ14" s="8"/>
      <c r="AR14" s="8"/>
    </row>
    <row r="15">
      <c r="A15" s="4" t="s">
        <v>28</v>
      </c>
      <c r="AJ15" s="8"/>
      <c r="AK15" s="8"/>
      <c r="AL15" s="8"/>
      <c r="AM15" s="8"/>
      <c r="AN15" s="8"/>
      <c r="AO15" s="8"/>
      <c r="AP15" s="8"/>
      <c r="AQ15" s="8"/>
      <c r="AR15" s="8"/>
    </row>
    <row r="16">
      <c r="A16" s="4">
        <v>71.0</v>
      </c>
      <c r="B16" s="4" t="s">
        <v>21</v>
      </c>
      <c r="C16" s="4">
        <v>0.9</v>
      </c>
      <c r="D16" s="4">
        <v>0.14</v>
      </c>
      <c r="E16" s="5">
        <f>D16*3.034</f>
        <v>0.42476</v>
      </c>
      <c r="F16" s="5">
        <f>C16*D16*910*3.034/1000</f>
        <v>0.34787844</v>
      </c>
      <c r="G16" s="5"/>
      <c r="H16" s="5"/>
      <c r="I16" s="4">
        <v>11.182</v>
      </c>
      <c r="J16" s="7">
        <f>I16*0.3/D16</f>
        <v>23.96142857</v>
      </c>
      <c r="K16" s="5">
        <f>I16/F16</f>
        <v>32.14341193</v>
      </c>
      <c r="L16" s="4">
        <v>0.1</v>
      </c>
      <c r="M16" s="4">
        <v>0.1025</v>
      </c>
      <c r="N16" s="4">
        <v>4.0</v>
      </c>
      <c r="O16" s="7">
        <f>I16/M16</f>
        <v>109.0926829</v>
      </c>
      <c r="P16" s="8">
        <f>M16/I16*E16</f>
        <v>0.003893570023</v>
      </c>
      <c r="Q16" s="8">
        <f>P16*K16</f>
        <v>0.1251526252</v>
      </c>
      <c r="R16" s="8">
        <f>Q16-L16</f>
        <v>0.02515262515</v>
      </c>
      <c r="S16" s="4"/>
      <c r="AJ16" s="8"/>
      <c r="AK16" s="8"/>
      <c r="AL16" s="8"/>
      <c r="AM16" s="8"/>
      <c r="AN16" s="8"/>
      <c r="AO16" s="8"/>
      <c r="AP16" s="8"/>
      <c r="AQ16" s="8"/>
      <c r="AR16" s="8"/>
    </row>
    <row r="17">
      <c r="AJ17" s="8"/>
      <c r="AK17" s="8"/>
      <c r="AL17" s="8"/>
      <c r="AM17" s="8"/>
      <c r="AN17" s="8"/>
      <c r="AO17" s="8"/>
      <c r="AP17" s="8"/>
      <c r="AQ17" s="8"/>
      <c r="AR17" s="8"/>
    </row>
    <row r="18">
      <c r="AJ18" s="8"/>
      <c r="AK18" s="8"/>
      <c r="AL18" s="8"/>
      <c r="AM18" s="8"/>
      <c r="AN18" s="8"/>
      <c r="AO18" s="8"/>
      <c r="AP18" s="8"/>
      <c r="AQ18" s="8"/>
      <c r="AR18" s="8"/>
    </row>
    <row r="19">
      <c r="A19" s="20" t="s">
        <v>29</v>
      </c>
      <c r="P19" s="21"/>
      <c r="X19" s="20" t="s">
        <v>30</v>
      </c>
      <c r="AJ19" s="8"/>
      <c r="AK19" s="8"/>
      <c r="AL19" s="8"/>
      <c r="AM19" s="8"/>
      <c r="AN19" s="8"/>
      <c r="AO19" s="8"/>
      <c r="AP19" s="8"/>
      <c r="AQ19" s="8"/>
      <c r="AR19" s="8"/>
    </row>
    <row r="20">
      <c r="A20" s="4">
        <v>2.0</v>
      </c>
      <c r="X20" s="4">
        <v>2.0</v>
      </c>
    </row>
    <row r="21" ht="62.25" customHeight="1">
      <c r="A21" s="2" t="s">
        <v>0</v>
      </c>
      <c r="B21" s="2" t="str">
        <f t="array" ref="B21:B30">I1:I10</f>
        <v>m204, Roberto - OF_Amp @ 3034 (mV)</v>
      </c>
      <c r="C21" s="20" t="s">
        <v>31</v>
      </c>
      <c r="D21" s="20" t="s">
        <v>32</v>
      </c>
      <c r="E21" s="4" t="s">
        <v>33</v>
      </c>
      <c r="F21" s="22" t="s">
        <v>34</v>
      </c>
      <c r="G21" s="20" t="s">
        <v>35</v>
      </c>
      <c r="H21" s="23" t="s">
        <v>36</v>
      </c>
      <c r="I21" s="20" t="s">
        <v>37</v>
      </c>
      <c r="J21" s="20" t="s">
        <v>38</v>
      </c>
      <c r="K21" s="20" t="s">
        <v>39</v>
      </c>
      <c r="M21" s="22" t="s">
        <v>40</v>
      </c>
      <c r="N21" s="20" t="s">
        <v>41</v>
      </c>
      <c r="O21" s="23" t="s">
        <v>42</v>
      </c>
      <c r="P21" s="20" t="s">
        <v>43</v>
      </c>
      <c r="V21" s="2" t="s">
        <v>12</v>
      </c>
      <c r="W21" s="20" t="s">
        <v>44</v>
      </c>
      <c r="X21" s="20" t="s">
        <v>45</v>
      </c>
      <c r="Y21" s="20" t="s">
        <v>46</v>
      </c>
      <c r="Z21" s="20" t="s">
        <v>47</v>
      </c>
      <c r="AA21" s="24" t="s">
        <v>48</v>
      </c>
      <c r="AB21" s="25" t="s">
        <v>49</v>
      </c>
      <c r="AC21" s="2" t="s">
        <v>50</v>
      </c>
      <c r="AD21" s="2" t="s">
        <v>51</v>
      </c>
      <c r="AE21" s="26" t="s">
        <v>52</v>
      </c>
      <c r="AF21" s="20" t="s">
        <v>53</v>
      </c>
      <c r="AG21" s="27" t="s">
        <v>54</v>
      </c>
      <c r="AH21" s="2" t="s">
        <v>55</v>
      </c>
      <c r="AI21" s="2" t="s">
        <v>56</v>
      </c>
      <c r="AJ21" s="2" t="s">
        <v>57</v>
      </c>
      <c r="AK21" s="28" t="s">
        <v>58</v>
      </c>
      <c r="AL21" s="2" t="s">
        <v>59</v>
      </c>
      <c r="AM21" s="28" t="s">
        <v>60</v>
      </c>
      <c r="AN21" s="29" t="s">
        <v>61</v>
      </c>
      <c r="AO21" s="29" t="s">
        <v>62</v>
      </c>
      <c r="AP21" s="29" t="s">
        <v>63</v>
      </c>
      <c r="AQ21" s="29" t="s">
        <v>64</v>
      </c>
      <c r="AR21" s="29" t="s">
        <v>65</v>
      </c>
      <c r="AS21" s="20" t="s">
        <v>66</v>
      </c>
      <c r="AT21" s="20" t="s">
        <v>67</v>
      </c>
      <c r="AU21" s="20" t="s">
        <v>68</v>
      </c>
      <c r="AV21" s="20" t="s">
        <v>69</v>
      </c>
      <c r="AW21" s="20" t="s">
        <v>70</v>
      </c>
      <c r="AX21" s="20" t="s">
        <v>71</v>
      </c>
      <c r="AZ21" s="20"/>
      <c r="BA21" s="20"/>
    </row>
    <row r="22">
      <c r="A22" s="4">
        <v>31.0</v>
      </c>
      <c r="B22" s="30">
        <v>7.657514340344168</v>
      </c>
      <c r="C22" s="4">
        <v>4.0</v>
      </c>
      <c r="D22" s="31">
        <f t="shared" ref="D22:D30" si="10">2*C22</f>
        <v>8</v>
      </c>
      <c r="E22" s="4">
        <v>19.0</v>
      </c>
      <c r="F22" s="4">
        <v>1600.0</v>
      </c>
      <c r="G22" s="4">
        <v>378.2</v>
      </c>
      <c r="H22" s="32">
        <f t="shared" ref="H22:H30" si="11">G22*910/182</f>
        <v>1891</v>
      </c>
      <c r="I22" s="33">
        <f t="shared" ref="I22:I30" si="12">H22/F22</f>
        <v>1.181875</v>
      </c>
      <c r="J22" s="34">
        <f t="shared" ref="J22:J30" si="13">G22*(B22/F22)</f>
        <v>1.810044952</v>
      </c>
      <c r="K22" s="4">
        <v>0.5393</v>
      </c>
      <c r="M22" s="4">
        <v>1630.0</v>
      </c>
      <c r="N22" s="4">
        <v>376.9</v>
      </c>
      <c r="O22" s="32">
        <f t="shared" ref="O22:O30" si="14">N22*910/182</f>
        <v>1884.5</v>
      </c>
      <c r="P22" s="33">
        <f t="shared" ref="P22:P30" si="15">O22/M22</f>
        <v>1.156134969</v>
      </c>
      <c r="V22" s="4">
        <v>0.17</v>
      </c>
      <c r="W22" s="4">
        <v>4.0</v>
      </c>
      <c r="X22" s="31">
        <f t="shared" ref="X22:X30" si="16">W22*$X$20</f>
        <v>8</v>
      </c>
      <c r="Y22" s="4">
        <v>8.0</v>
      </c>
      <c r="Z22" s="4">
        <v>19.0</v>
      </c>
      <c r="AA22" s="4">
        <v>222.7</v>
      </c>
      <c r="AB22" s="35">
        <v>1903800.0</v>
      </c>
      <c r="AC22" s="8">
        <v>2235486.0</v>
      </c>
      <c r="AD22" s="4">
        <v>352.0</v>
      </c>
      <c r="AE22" s="36">
        <f>AB22 / AA22</f>
        <v>8548.720251</v>
      </c>
      <c r="AF22" s="37">
        <f t="shared" ref="AF22:AF30" si="17"> AC22 / AA22</f>
        <v>10038.10507</v>
      </c>
      <c r="AG22" s="38">
        <f t="shared" ref="AG22:AG30" si="18">B22*(AC22/1000)/M22</f>
        <v>10.50200374</v>
      </c>
      <c r="AH22" s="5">
        <f t="shared" ref="AH22:AH30" si="19">AG22/(AA22/1000)</f>
        <v>47.15762795</v>
      </c>
      <c r="AI22" s="7">
        <v>166.48</v>
      </c>
      <c r="AJ22" s="4">
        <v>8.916</v>
      </c>
      <c r="AK22" s="39">
        <v>3.9</v>
      </c>
      <c r="AL22" s="4">
        <v>10.344</v>
      </c>
      <c r="AM22" s="39">
        <v>4.6</v>
      </c>
      <c r="AN22" s="40">
        <f t="shared" ref="AN22:AN30" si="20">ABS(AL22-AG22)</f>
        <v>0.158003744</v>
      </c>
      <c r="AO22" s="40">
        <f t="shared" ref="AO22:AO30" si="21">(AN22 /AG22) * 100</f>
        <v>1.504510452</v>
      </c>
      <c r="AP22" s="40">
        <f t="shared" ref="AP22:AP30" si="22"> AL22 / (AA22 /1000)</f>
        <v>46.44813651</v>
      </c>
      <c r="AQ22" s="40">
        <f t="shared" ref="AQ22:AQ30" si="23">ABS(AP22 - AH22)</f>
        <v>0.7094914412</v>
      </c>
      <c r="AR22" s="40">
        <f t="shared" ref="AR22:AR30" si="24"> (AQ22 / AH22 ) *100</f>
        <v>1.504510452</v>
      </c>
      <c r="AS22" s="8"/>
      <c r="AT22" s="4">
        <v>0.171</v>
      </c>
      <c r="AU22" s="4">
        <v>52.2</v>
      </c>
      <c r="AV22" s="4">
        <v>0.241401</v>
      </c>
      <c r="AW22" s="8">
        <v>6.411004E-5</v>
      </c>
      <c r="AX22" s="4">
        <v>0.5526</v>
      </c>
      <c r="AY22" s="31">
        <f t="shared" ref="AY22:AY30" si="25">AU22/AX22</f>
        <v>94.46254072</v>
      </c>
    </row>
    <row r="23">
      <c r="A23" s="4">
        <v>34.0</v>
      </c>
      <c r="B23" s="30">
        <v>8.353652007648185</v>
      </c>
      <c r="C23" s="4">
        <v>5.0</v>
      </c>
      <c r="D23" s="31">
        <f t="shared" si="10"/>
        <v>10</v>
      </c>
      <c r="E23" s="4">
        <v>21.0</v>
      </c>
      <c r="F23" s="4">
        <v>1030.0</v>
      </c>
      <c r="G23" s="4">
        <v>208.2</v>
      </c>
      <c r="H23" s="41">
        <f t="shared" si="11"/>
        <v>1041</v>
      </c>
      <c r="I23" s="30">
        <f t="shared" si="12"/>
        <v>1.010679612</v>
      </c>
      <c r="J23" s="34">
        <f t="shared" si="13"/>
        <v>1.688573153</v>
      </c>
      <c r="K23" s="4">
        <v>0.8179</v>
      </c>
      <c r="M23" s="4">
        <v>1100.0</v>
      </c>
      <c r="N23" s="4">
        <v>207.9</v>
      </c>
      <c r="O23" s="41">
        <f t="shared" si="14"/>
        <v>1039.5</v>
      </c>
      <c r="P23" s="42">
        <f t="shared" si="15"/>
        <v>0.945</v>
      </c>
      <c r="V23" s="4">
        <v>0.08</v>
      </c>
      <c r="W23" s="4">
        <v>5.0</v>
      </c>
      <c r="X23" s="31">
        <f t="shared" si="16"/>
        <v>10</v>
      </c>
      <c r="Y23" s="4">
        <v>10.0</v>
      </c>
      <c r="Z23" s="4">
        <v>21.0</v>
      </c>
      <c r="AA23" s="4">
        <v>64.93</v>
      </c>
      <c r="AB23" s="35">
        <v>1175200.0</v>
      </c>
      <c r="AC23" s="8">
        <v>1194133.0</v>
      </c>
      <c r="AD23" s="4">
        <v>352.0</v>
      </c>
      <c r="AE23" s="36">
        <f t="shared" ref="AE23:AE30" si="26">(AB23 / AA23)*1000</f>
        <v>18099491.76</v>
      </c>
      <c r="AF23" s="37">
        <f t="shared" si="17"/>
        <v>18391.0827</v>
      </c>
      <c r="AG23" s="38">
        <f t="shared" si="18"/>
        <v>9.068519575</v>
      </c>
      <c r="AH23" s="5">
        <f t="shared" si="19"/>
        <v>139.6660954</v>
      </c>
      <c r="AI23" s="7">
        <v>218.467</v>
      </c>
      <c r="AJ23" s="4">
        <v>5.388</v>
      </c>
      <c r="AK23" s="39">
        <v>3.2</v>
      </c>
      <c r="AL23" s="4">
        <v>6.251</v>
      </c>
      <c r="AM23" s="39">
        <v>3.7</v>
      </c>
      <c r="AN23" s="40">
        <f t="shared" si="20"/>
        <v>2.817519575</v>
      </c>
      <c r="AO23" s="39">
        <f t="shared" si="21"/>
        <v>31.06923409</v>
      </c>
      <c r="AP23" s="40">
        <f t="shared" si="22"/>
        <v>96.27290929</v>
      </c>
      <c r="AQ23" s="40">
        <f t="shared" si="23"/>
        <v>43.39318613</v>
      </c>
      <c r="AR23" s="40">
        <f t="shared" si="24"/>
        <v>31.06923409</v>
      </c>
      <c r="AS23" s="8"/>
      <c r="AT23" s="4">
        <v>0.066</v>
      </c>
      <c r="AU23" s="4">
        <v>134.8</v>
      </c>
      <c r="AV23" s="4">
        <v>0.343014</v>
      </c>
      <c r="AW23" s="8">
        <v>9.109592E-5</v>
      </c>
      <c r="AX23" s="4">
        <v>0.9113</v>
      </c>
      <c r="AY23" s="31">
        <f t="shared" si="25"/>
        <v>147.9205531</v>
      </c>
    </row>
    <row r="24">
      <c r="A24" s="4">
        <v>37.0</v>
      </c>
      <c r="B24" s="30">
        <v>8.469674952198853</v>
      </c>
      <c r="C24" s="4">
        <v>10.0</v>
      </c>
      <c r="D24" s="31">
        <f t="shared" si="10"/>
        <v>20</v>
      </c>
      <c r="E24" s="4">
        <v>23.0</v>
      </c>
      <c r="F24" s="4">
        <v>1600.0</v>
      </c>
      <c r="G24" s="4">
        <v>458.5</v>
      </c>
      <c r="H24" s="9">
        <f t="shared" si="11"/>
        <v>2292.5</v>
      </c>
      <c r="I24" s="43">
        <f t="shared" si="12"/>
        <v>1.4328125</v>
      </c>
      <c r="J24" s="34">
        <f t="shared" si="13"/>
        <v>2.427091228</v>
      </c>
      <c r="K24" s="4">
        <v>0.5656</v>
      </c>
      <c r="M24" s="4">
        <v>1800.0</v>
      </c>
      <c r="N24" s="4">
        <v>458.9</v>
      </c>
      <c r="O24" s="9">
        <f t="shared" si="14"/>
        <v>2294.5</v>
      </c>
      <c r="P24" s="43">
        <f t="shared" si="15"/>
        <v>1.274722222</v>
      </c>
      <c r="V24" s="4">
        <v>0.14</v>
      </c>
      <c r="W24" s="4">
        <v>10.0</v>
      </c>
      <c r="X24" s="31">
        <f t="shared" si="16"/>
        <v>20</v>
      </c>
      <c r="Y24" s="4">
        <v>20.0</v>
      </c>
      <c r="Z24" s="4">
        <v>23.0</v>
      </c>
      <c r="AA24" s="4">
        <v>188.1</v>
      </c>
      <c r="AB24" s="35">
        <v>2327400.0</v>
      </c>
      <c r="AC24" s="8">
        <v>2360815.0</v>
      </c>
      <c r="AD24" s="4">
        <v>355.0</v>
      </c>
      <c r="AE24" s="36">
        <f t="shared" si="26"/>
        <v>12373205.74</v>
      </c>
      <c r="AF24" s="37">
        <f t="shared" si="17"/>
        <v>12550.85061</v>
      </c>
      <c r="AG24" s="38">
        <f t="shared" si="18"/>
        <v>11.10851982</v>
      </c>
      <c r="AH24" s="5">
        <f t="shared" si="19"/>
        <v>59.05645836</v>
      </c>
      <c r="AI24" s="7">
        <v>151.151</v>
      </c>
      <c r="AJ24" s="4">
        <v>9.43</v>
      </c>
      <c r="AK24" s="39">
        <v>9.2</v>
      </c>
      <c r="AL24" s="4">
        <v>10.941</v>
      </c>
      <c r="AM24" s="39">
        <v>10.7</v>
      </c>
      <c r="AN24" s="40">
        <f t="shared" si="20"/>
        <v>0.1675198179</v>
      </c>
      <c r="AO24" s="40">
        <f t="shared" si="21"/>
        <v>1.508030059</v>
      </c>
      <c r="AP24" s="40">
        <f t="shared" si="22"/>
        <v>58.16586922</v>
      </c>
      <c r="AQ24" s="40">
        <f t="shared" si="23"/>
        <v>0.8905891437</v>
      </c>
      <c r="AR24" s="40">
        <f t="shared" si="24"/>
        <v>1.508030059</v>
      </c>
      <c r="AS24" s="8"/>
      <c r="AT24" s="4">
        <v>0.189</v>
      </c>
      <c r="AU24" s="4">
        <v>58.08</v>
      </c>
      <c r="AV24" s="4">
        <v>0.778668</v>
      </c>
      <c r="AW24" s="8">
        <v>7.895999E-5</v>
      </c>
      <c r="AX24" s="4">
        <v>0.5848</v>
      </c>
      <c r="AY24" s="31">
        <f t="shared" si="25"/>
        <v>99.31600547</v>
      </c>
    </row>
    <row r="25">
      <c r="A25" s="4">
        <v>40.0</v>
      </c>
      <c r="B25" s="30">
        <v>4.40887189292543</v>
      </c>
      <c r="C25" s="4">
        <v>13.0</v>
      </c>
      <c r="D25" s="31">
        <f t="shared" si="10"/>
        <v>26</v>
      </c>
      <c r="E25" s="4">
        <v>25.0</v>
      </c>
      <c r="F25" s="4">
        <v>410.0</v>
      </c>
      <c r="G25" s="4">
        <v>154.1</v>
      </c>
      <c r="H25" s="9">
        <f t="shared" si="11"/>
        <v>770.5</v>
      </c>
      <c r="I25" s="43">
        <f t="shared" si="12"/>
        <v>1.879268293</v>
      </c>
      <c r="J25" s="34">
        <f t="shared" si="13"/>
        <v>1.657090631</v>
      </c>
      <c r="K25" s="4">
        <v>0.3742</v>
      </c>
      <c r="M25" s="4">
        <v>415.0</v>
      </c>
      <c r="N25" s="4">
        <v>154.6</v>
      </c>
      <c r="O25" s="9">
        <f t="shared" si="14"/>
        <v>773</v>
      </c>
      <c r="P25" s="43">
        <f t="shared" si="15"/>
        <v>1.862650602</v>
      </c>
      <c r="V25" s="4">
        <v>0.15</v>
      </c>
      <c r="W25" s="4">
        <v>13.0</v>
      </c>
      <c r="X25" s="31">
        <f t="shared" si="16"/>
        <v>26</v>
      </c>
      <c r="Y25" s="44">
        <v>40.0</v>
      </c>
      <c r="Z25" s="44">
        <v>29.0</v>
      </c>
      <c r="AA25" s="4">
        <v>383.4</v>
      </c>
      <c r="AB25" s="35">
        <v>787370.0</v>
      </c>
      <c r="AC25" s="8">
        <v>967341.0</v>
      </c>
      <c r="AD25" s="4">
        <v>354.0</v>
      </c>
      <c r="AE25" s="36">
        <f t="shared" si="26"/>
        <v>2053651.539</v>
      </c>
      <c r="AF25" s="37">
        <f t="shared" si="17"/>
        <v>2523.059468</v>
      </c>
      <c r="AG25" s="38">
        <f t="shared" si="18"/>
        <v>10.27682541</v>
      </c>
      <c r="AH25" s="5">
        <f t="shared" si="19"/>
        <v>26.80444813</v>
      </c>
      <c r="AI25" s="7">
        <v>141.818</v>
      </c>
      <c r="AJ25" s="4">
        <v>8.148</v>
      </c>
      <c r="AK25" s="39">
        <v>4.2</v>
      </c>
      <c r="AL25" s="4">
        <v>9.454</v>
      </c>
      <c r="AM25" s="39">
        <v>4.9</v>
      </c>
      <c r="AN25" s="40">
        <f t="shared" si="20"/>
        <v>0.8228254115</v>
      </c>
      <c r="AO25" s="40">
        <f t="shared" si="21"/>
        <v>8.006610783</v>
      </c>
      <c r="AP25" s="40">
        <f t="shared" si="22"/>
        <v>24.65832029</v>
      </c>
      <c r="AQ25" s="40">
        <f t="shared" si="23"/>
        <v>2.146127834</v>
      </c>
      <c r="AR25" s="40">
        <f t="shared" si="24"/>
        <v>8.006610783</v>
      </c>
      <c r="AS25" s="8"/>
      <c r="AT25" s="4">
        <v>0.269</v>
      </c>
      <c r="AU25" s="4">
        <v>31.0</v>
      </c>
      <c r="AV25" s="4">
        <v>0.312359</v>
      </c>
      <c r="AW25" s="8">
        <v>8.295477E-5</v>
      </c>
      <c r="AX25" s="4">
        <v>0.4002</v>
      </c>
      <c r="AY25" s="31">
        <f t="shared" si="25"/>
        <v>77.46126937</v>
      </c>
    </row>
    <row r="26">
      <c r="A26" s="10">
        <v>41.0</v>
      </c>
      <c r="B26" s="45">
        <v>2.088413001912046</v>
      </c>
      <c r="C26" s="4">
        <v>4.0</v>
      </c>
      <c r="D26" s="31">
        <f t="shared" si="10"/>
        <v>8</v>
      </c>
      <c r="E26" s="4">
        <v>19.0</v>
      </c>
      <c r="F26" s="4">
        <v>238.0</v>
      </c>
      <c r="G26" s="4">
        <v>127.5</v>
      </c>
      <c r="H26" s="9">
        <f t="shared" si="11"/>
        <v>637.5</v>
      </c>
      <c r="I26" s="43">
        <f t="shared" si="12"/>
        <v>2.678571429</v>
      </c>
      <c r="J26" s="34">
        <f t="shared" si="13"/>
        <v>1.11879268</v>
      </c>
      <c r="K26" s="4">
        <v>0.7738</v>
      </c>
      <c r="M26" s="4">
        <v>581.0</v>
      </c>
      <c r="N26" s="4">
        <v>127.3</v>
      </c>
      <c r="O26" s="41">
        <f t="shared" si="14"/>
        <v>636.5</v>
      </c>
      <c r="P26" s="42">
        <f t="shared" si="15"/>
        <v>1.095524957</v>
      </c>
      <c r="V26" s="10">
        <v>0.42</v>
      </c>
      <c r="W26" s="4">
        <v>4.0</v>
      </c>
      <c r="X26" s="31">
        <f t="shared" si="16"/>
        <v>8</v>
      </c>
      <c r="Y26" s="4">
        <v>8.0</v>
      </c>
      <c r="Z26" s="4">
        <v>19.0</v>
      </c>
      <c r="AA26" s="4">
        <v>723.9</v>
      </c>
      <c r="AB26" s="35">
        <v>645670.0</v>
      </c>
      <c r="AC26" s="8">
        <v>646320.0</v>
      </c>
      <c r="AD26" s="4">
        <v>358.0</v>
      </c>
      <c r="AE26" s="36">
        <f t="shared" si="26"/>
        <v>891932.5874</v>
      </c>
      <c r="AF26" s="37">
        <f t="shared" si="17"/>
        <v>892.8305015</v>
      </c>
      <c r="AG26" s="38">
        <f t="shared" si="18"/>
        <v>2.323206698</v>
      </c>
      <c r="AH26" s="5">
        <f t="shared" si="19"/>
        <v>3.209292302</v>
      </c>
      <c r="AI26" s="7">
        <v>161.969</v>
      </c>
      <c r="AJ26" s="4">
        <v>3.948</v>
      </c>
      <c r="AK26" s="39">
        <v>1.3</v>
      </c>
      <c r="AL26" s="4">
        <v>4.58</v>
      </c>
      <c r="AM26" s="39">
        <v>1.5</v>
      </c>
      <c r="AN26" s="40">
        <f t="shared" si="20"/>
        <v>2.256793302</v>
      </c>
      <c r="AO26" s="39">
        <f t="shared" si="21"/>
        <v>97.14130492</v>
      </c>
      <c r="AP26" s="40">
        <f t="shared" si="22"/>
        <v>6.326840724</v>
      </c>
      <c r="AQ26" s="40">
        <f t="shared" si="23"/>
        <v>3.117548421</v>
      </c>
      <c r="AR26" s="40">
        <f t="shared" si="24"/>
        <v>97.14130492</v>
      </c>
      <c r="AS26" s="8"/>
      <c r="AT26" s="4">
        <v>0.795</v>
      </c>
      <c r="AU26" s="4">
        <v>2.9</v>
      </c>
      <c r="AV26" s="4">
        <v>0.769481</v>
      </c>
      <c r="AW26" s="8">
        <v>2.043552E-4</v>
      </c>
      <c r="AX26" s="4">
        <v>0.7828</v>
      </c>
      <c r="AY26" s="31">
        <f t="shared" si="25"/>
        <v>3.704649974</v>
      </c>
    </row>
    <row r="27">
      <c r="A27" s="4">
        <v>71.0</v>
      </c>
      <c r="B27" s="30">
        <v>14.154799235181644</v>
      </c>
      <c r="C27" s="4">
        <v>4.0</v>
      </c>
      <c r="D27" s="31">
        <f t="shared" si="10"/>
        <v>8</v>
      </c>
      <c r="E27" s="4">
        <v>19.0</v>
      </c>
      <c r="F27" s="4">
        <v>1370.0</v>
      </c>
      <c r="G27" s="4">
        <v>325.5</v>
      </c>
      <c r="H27" s="32">
        <f t="shared" si="11"/>
        <v>1627.5</v>
      </c>
      <c r="I27" s="33">
        <f t="shared" si="12"/>
        <v>1.187956204</v>
      </c>
      <c r="J27" s="34">
        <f t="shared" si="13"/>
        <v>3.363056315</v>
      </c>
      <c r="K27" s="4">
        <v>0.6476</v>
      </c>
      <c r="M27" s="4">
        <v>1400.0</v>
      </c>
      <c r="N27" s="4">
        <v>324.8</v>
      </c>
      <c r="O27" s="32">
        <f t="shared" si="14"/>
        <v>1624</v>
      </c>
      <c r="P27" s="33">
        <f t="shared" si="15"/>
        <v>1.16</v>
      </c>
      <c r="V27" s="4">
        <v>0.11</v>
      </c>
      <c r="W27" s="4">
        <v>4.0</v>
      </c>
      <c r="X27" s="31">
        <f t="shared" si="16"/>
        <v>8</v>
      </c>
      <c r="Y27" s="4">
        <v>8.0</v>
      </c>
      <c r="Z27" s="4">
        <v>19.0</v>
      </c>
      <c r="AA27" s="4">
        <v>166.4</v>
      </c>
      <c r="AB27" s="35">
        <v>1636400.0</v>
      </c>
      <c r="AC27" s="8">
        <v>1664950.0</v>
      </c>
      <c r="AD27" s="4">
        <v>356.0</v>
      </c>
      <c r="AE27" s="36">
        <f t="shared" si="26"/>
        <v>9834134.615</v>
      </c>
      <c r="AF27" s="37">
        <f t="shared" si="17"/>
        <v>10005.70913</v>
      </c>
      <c r="AG27" s="38">
        <f t="shared" si="18"/>
        <v>16.83359499</v>
      </c>
      <c r="AH27" s="5">
        <f t="shared" si="19"/>
        <v>101.1634314</v>
      </c>
      <c r="AI27" s="7">
        <v>72.75</v>
      </c>
      <c r="AJ27" s="46">
        <v>9.96</v>
      </c>
      <c r="AK27" s="39">
        <v>9.0</v>
      </c>
      <c r="AL27" s="4">
        <v>11.556</v>
      </c>
      <c r="AM27" s="39">
        <v>10.5</v>
      </c>
      <c r="AN27" s="40">
        <f t="shared" si="20"/>
        <v>5.27759499</v>
      </c>
      <c r="AO27" s="39">
        <f t="shared" si="21"/>
        <v>31.35156212</v>
      </c>
      <c r="AP27" s="40">
        <f t="shared" si="22"/>
        <v>69.44711538</v>
      </c>
      <c r="AQ27" s="40">
        <f t="shared" si="23"/>
        <v>31.71631605</v>
      </c>
      <c r="AR27" s="40">
        <f t="shared" si="24"/>
        <v>31.35156212</v>
      </c>
      <c r="AS27" s="8"/>
      <c r="AT27" s="4">
        <v>0.176</v>
      </c>
      <c r="AU27" s="4">
        <v>93.52</v>
      </c>
      <c r="AV27" s="4">
        <v>0.717565</v>
      </c>
      <c r="AW27" s="8">
        <v>6.068944E-5</v>
      </c>
      <c r="AX27" s="4">
        <v>0.6595</v>
      </c>
      <c r="AY27" s="31">
        <f t="shared" si="25"/>
        <v>141.8043973</v>
      </c>
    </row>
    <row r="28">
      <c r="A28" s="4">
        <v>83.0</v>
      </c>
      <c r="B28" s="30">
        <v>10.558087954110897</v>
      </c>
      <c r="C28" s="4">
        <v>2.0</v>
      </c>
      <c r="D28" s="31">
        <f t="shared" si="10"/>
        <v>4</v>
      </c>
      <c r="E28" s="4">
        <v>13.0</v>
      </c>
      <c r="F28" s="4">
        <v>760.0</v>
      </c>
      <c r="G28" s="4">
        <v>179.7</v>
      </c>
      <c r="H28" s="32">
        <f t="shared" si="11"/>
        <v>898.5</v>
      </c>
      <c r="I28" s="33">
        <f t="shared" si="12"/>
        <v>1.182236842</v>
      </c>
      <c r="J28" s="34">
        <f t="shared" si="13"/>
        <v>2.496432112</v>
      </c>
      <c r="K28" s="4">
        <v>0.8107</v>
      </c>
      <c r="M28" s="4">
        <v>850.0</v>
      </c>
      <c r="N28" s="4">
        <v>179.6</v>
      </c>
      <c r="O28" s="41">
        <f t="shared" si="14"/>
        <v>898</v>
      </c>
      <c r="P28" s="42">
        <f t="shared" si="15"/>
        <v>1.056470588</v>
      </c>
      <c r="V28" s="4">
        <v>0.2</v>
      </c>
      <c r="W28" s="4">
        <v>2.0</v>
      </c>
      <c r="X28" s="31">
        <f t="shared" si="16"/>
        <v>4</v>
      </c>
      <c r="Y28" s="4">
        <v>8.0</v>
      </c>
      <c r="Z28" s="4">
        <v>19.0</v>
      </c>
      <c r="AA28" s="4">
        <v>169.5</v>
      </c>
      <c r="AB28" s="35">
        <v>918930.0</v>
      </c>
      <c r="AC28" s="8">
        <v>999160.0</v>
      </c>
      <c r="AD28" s="4">
        <v>357.0</v>
      </c>
      <c r="AE28" s="36">
        <f t="shared" si="26"/>
        <v>5421415.929</v>
      </c>
      <c r="AF28" s="37">
        <f t="shared" si="17"/>
        <v>5894.749263</v>
      </c>
      <c r="AG28" s="38">
        <f t="shared" si="18"/>
        <v>12.41084607</v>
      </c>
      <c r="AH28" s="5">
        <f t="shared" si="19"/>
        <v>73.2203308</v>
      </c>
      <c r="AI28" s="7">
        <v>184.935</v>
      </c>
      <c r="AJ28" s="4">
        <v>10.065</v>
      </c>
      <c r="AK28" s="39">
        <v>5.5</v>
      </c>
      <c r="AL28" s="4">
        <v>11.678</v>
      </c>
      <c r="AM28" s="39">
        <v>6.4</v>
      </c>
      <c r="AN28" s="40">
        <f t="shared" si="20"/>
        <v>0.7328460709</v>
      </c>
      <c r="AO28" s="40">
        <f t="shared" si="21"/>
        <v>5.904884056</v>
      </c>
      <c r="AP28" s="40">
        <f t="shared" si="22"/>
        <v>68.89675516</v>
      </c>
      <c r="AQ28" s="40">
        <f t="shared" si="23"/>
        <v>4.323575639</v>
      </c>
      <c r="AR28" s="40">
        <f t="shared" si="24"/>
        <v>5.904884056</v>
      </c>
      <c r="AS28" s="8"/>
      <c r="AT28" s="4">
        <v>0.165</v>
      </c>
      <c r="AU28" s="4">
        <v>69.13</v>
      </c>
      <c r="AV28" s="4">
        <v>0.823198</v>
      </c>
      <c r="AW28" s="8">
        <v>9.192859E-5</v>
      </c>
      <c r="AX28" s="4">
        <v>0.8191</v>
      </c>
      <c r="AY28" s="31">
        <f t="shared" si="25"/>
        <v>84.39750946</v>
      </c>
    </row>
    <row r="29">
      <c r="A29" s="4">
        <v>91.0</v>
      </c>
      <c r="B29" s="6">
        <v>5.105009560229446</v>
      </c>
      <c r="C29" s="4">
        <v>2.0</v>
      </c>
      <c r="D29" s="31">
        <f t="shared" si="10"/>
        <v>4</v>
      </c>
      <c r="E29" s="4">
        <v>13.0</v>
      </c>
      <c r="F29" s="4">
        <v>2200.0</v>
      </c>
      <c r="G29" s="4">
        <v>570.1</v>
      </c>
      <c r="H29" s="32">
        <f t="shared" si="11"/>
        <v>2850.5</v>
      </c>
      <c r="I29" s="33">
        <f t="shared" si="12"/>
        <v>1.295681818</v>
      </c>
      <c r="J29" s="34">
        <f t="shared" si="13"/>
        <v>1.322893614</v>
      </c>
      <c r="K29" s="4">
        <v>0.8214</v>
      </c>
      <c r="M29" s="4">
        <v>2330.0</v>
      </c>
      <c r="N29" s="4">
        <v>570.0</v>
      </c>
      <c r="O29" s="32">
        <f t="shared" si="14"/>
        <v>2850</v>
      </c>
      <c r="P29" s="33">
        <f t="shared" si="15"/>
        <v>1.223175966</v>
      </c>
      <c r="V29" s="15">
        <v>0.25</v>
      </c>
      <c r="W29" s="4">
        <v>3.0</v>
      </c>
      <c r="X29" s="31">
        <f t="shared" si="16"/>
        <v>6</v>
      </c>
      <c r="Y29" s="4">
        <v>4.0</v>
      </c>
      <c r="Z29" s="4">
        <v>13.0</v>
      </c>
      <c r="AA29" s="4">
        <v>301.9</v>
      </c>
      <c r="AB29" s="35">
        <v>2594200.0</v>
      </c>
      <c r="AC29" s="8">
        <v>3142056.0</v>
      </c>
      <c r="AD29" s="4">
        <v>354.0</v>
      </c>
      <c r="AE29" s="36">
        <f t="shared" si="26"/>
        <v>8592911.56</v>
      </c>
      <c r="AF29" s="37">
        <f t="shared" si="17"/>
        <v>10407.60517</v>
      </c>
      <c r="AG29" s="38">
        <f t="shared" si="18"/>
        <v>6.884217133</v>
      </c>
      <c r="AH29" s="5">
        <f t="shared" si="19"/>
        <v>22.80297162</v>
      </c>
      <c r="AI29" s="7">
        <v>110.972</v>
      </c>
      <c r="AJ29" s="4">
        <v>5.847</v>
      </c>
      <c r="AK29" s="39">
        <v>4.2</v>
      </c>
      <c r="AL29" s="4">
        <v>6.784</v>
      </c>
      <c r="AM29" s="39">
        <v>4.8</v>
      </c>
      <c r="AN29" s="40">
        <f t="shared" si="20"/>
        <v>0.1002171325</v>
      </c>
      <c r="AO29" s="40">
        <f t="shared" si="21"/>
        <v>1.455752057</v>
      </c>
      <c r="AP29" s="40">
        <f t="shared" si="22"/>
        <v>22.47101689</v>
      </c>
      <c r="AQ29" s="40">
        <f t="shared" si="23"/>
        <v>0.3319547285</v>
      </c>
      <c r="AR29" s="40">
        <f t="shared" si="24"/>
        <v>1.455752057</v>
      </c>
      <c r="AS29" s="8"/>
      <c r="AT29" s="4">
        <v>0.245</v>
      </c>
      <c r="AU29" s="4">
        <v>23.2</v>
      </c>
      <c r="AV29" s="4">
        <v>0.538886</v>
      </c>
      <c r="AW29" s="8">
        <v>1.431148E-4</v>
      </c>
      <c r="AX29" s="4">
        <v>0.7212</v>
      </c>
      <c r="AY29" s="31">
        <f t="shared" si="25"/>
        <v>32.16860788</v>
      </c>
    </row>
    <row r="30">
      <c r="A30" s="4">
        <v>94.0</v>
      </c>
      <c r="B30" s="30">
        <v>4.292848948374761</v>
      </c>
      <c r="C30" s="4">
        <v>13.0</v>
      </c>
      <c r="D30" s="31">
        <f t="shared" si="10"/>
        <v>26</v>
      </c>
      <c r="E30" s="4">
        <v>25.0</v>
      </c>
      <c r="F30" s="4">
        <v>485.0</v>
      </c>
      <c r="G30" s="4">
        <v>164.4</v>
      </c>
      <c r="H30" s="9">
        <f t="shared" si="11"/>
        <v>822</v>
      </c>
      <c r="I30" s="43">
        <f t="shared" si="12"/>
        <v>1.694845361</v>
      </c>
      <c r="J30" s="34">
        <f t="shared" si="13"/>
        <v>1.455143025</v>
      </c>
      <c r="K30" s="4">
        <v>0.3507</v>
      </c>
      <c r="M30" s="4">
        <v>490.0</v>
      </c>
      <c r="N30" s="4">
        <v>164.6</v>
      </c>
      <c r="O30" s="9">
        <f t="shared" si="14"/>
        <v>823</v>
      </c>
      <c r="P30" s="43">
        <f t="shared" si="15"/>
        <v>1.679591837</v>
      </c>
      <c r="V30" s="4">
        <v>0.12</v>
      </c>
      <c r="W30" s="4">
        <v>13.0</v>
      </c>
      <c r="X30" s="31">
        <f t="shared" si="16"/>
        <v>26</v>
      </c>
      <c r="Y30" s="4">
        <v>26.0</v>
      </c>
      <c r="Z30" s="4">
        <v>25.0</v>
      </c>
      <c r="AA30" s="4">
        <v>362.6</v>
      </c>
      <c r="AB30" s="35">
        <v>845730.0</v>
      </c>
      <c r="AC30" s="8">
        <v>807635.0</v>
      </c>
      <c r="AD30" s="4">
        <v>361.0</v>
      </c>
      <c r="AE30" s="36">
        <f t="shared" si="26"/>
        <v>2332404.854</v>
      </c>
      <c r="AF30" s="37">
        <f t="shared" si="17"/>
        <v>2227.344181</v>
      </c>
      <c r="AG30" s="38">
        <f t="shared" si="18"/>
        <v>7.075622572</v>
      </c>
      <c r="AH30" s="5">
        <f t="shared" si="19"/>
        <v>19.51357576</v>
      </c>
      <c r="AI30" s="7">
        <v>144.968</v>
      </c>
      <c r="AJ30" s="4">
        <v>4.809</v>
      </c>
      <c r="AK30" s="39">
        <v>4.7</v>
      </c>
      <c r="AL30" s="4">
        <v>5.579</v>
      </c>
      <c r="AM30" s="39">
        <v>5.5</v>
      </c>
      <c r="AN30" s="40">
        <f t="shared" si="20"/>
        <v>1.496622572</v>
      </c>
      <c r="AO30" s="47">
        <f t="shared" si="21"/>
        <v>21.15181466</v>
      </c>
      <c r="AP30" s="40">
        <f t="shared" si="22"/>
        <v>15.38610039</v>
      </c>
      <c r="AQ30" s="40">
        <f t="shared" si="23"/>
        <v>4.127475379</v>
      </c>
      <c r="AR30" s="40">
        <f t="shared" si="24"/>
        <v>21.15181466</v>
      </c>
      <c r="AS30" s="8"/>
      <c r="AT30" s="4">
        <v>0.231</v>
      </c>
      <c r="AU30" s="4">
        <v>32.0</v>
      </c>
      <c r="AV30" s="4">
        <v>0.23456</v>
      </c>
      <c r="AW30" s="8">
        <v>6.229323E-5</v>
      </c>
      <c r="AX30" s="4">
        <v>0.3667</v>
      </c>
      <c r="AY30" s="31">
        <f t="shared" si="25"/>
        <v>87.26479411</v>
      </c>
    </row>
    <row r="31">
      <c r="J31" s="48" t="s">
        <v>72</v>
      </c>
      <c r="AB31" s="49" t="s">
        <v>73</v>
      </c>
      <c r="AE31" s="49" t="s">
        <v>73</v>
      </c>
      <c r="AK31" s="39" t="s">
        <v>74</v>
      </c>
      <c r="AN31" s="40"/>
      <c r="AQ31" s="40"/>
    </row>
    <row r="32">
      <c r="AI32" s="4">
        <v>3.0</v>
      </c>
      <c r="AN32" s="40"/>
      <c r="AQ32" s="40"/>
      <c r="AS32" s="4"/>
    </row>
    <row r="33">
      <c r="H33" s="4" t="s">
        <v>75</v>
      </c>
      <c r="I3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